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ashhh\Portfolio\Net Profit Variance\"/>
    </mc:Choice>
  </mc:AlternateContent>
  <xr:revisionPtr revIDLastSave="0" documentId="8_{EF04C7DD-47D1-41C5-928D-E111C4B945F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inance_Model" sheetId="1" r:id="rId1"/>
    <sheet name="Sheet1" sheetId="2" r:id="rId2"/>
  </sheets>
  <definedNames>
    <definedName name="_xlchart.v1.0" hidden="1">Sheet1!$A$12:$A$16</definedName>
    <definedName name="_xlchart.v1.1" hidden="1">Sheet1!$B$11</definedName>
    <definedName name="_xlchart.v1.2" hidden="1">Sheet1!$B$12:$B$16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2" l="1"/>
  <c r="E2" i="2"/>
  <c r="E3" i="2"/>
  <c r="E4" i="2"/>
  <c r="D5" i="2"/>
  <c r="C5" i="2"/>
  <c r="B5" i="2"/>
  <c r="D3" i="2"/>
  <c r="D4" i="2"/>
  <c r="D2" i="2"/>
  <c r="E15" i="1"/>
  <c r="E16" i="1"/>
  <c r="E13" i="1"/>
  <c r="G13" i="1" s="1"/>
  <c r="E12" i="1"/>
  <c r="G12" i="1" s="1"/>
  <c r="G11" i="1"/>
  <c r="E11" i="1"/>
  <c r="F11" i="1" s="1"/>
  <c r="H11" i="1" s="1"/>
  <c r="G10" i="1"/>
  <c r="F10" i="1"/>
  <c r="H10" i="1" s="1"/>
  <c r="E10" i="1"/>
  <c r="G9" i="1"/>
  <c r="F9" i="1"/>
  <c r="H9" i="1" s="1"/>
  <c r="E9" i="1"/>
  <c r="G8" i="1"/>
  <c r="E8" i="1"/>
  <c r="F8" i="1" s="1"/>
  <c r="H8" i="1" s="1"/>
  <c r="G7" i="1"/>
  <c r="F7" i="1"/>
  <c r="H7" i="1" s="1"/>
  <c r="E7" i="1"/>
  <c r="G6" i="1"/>
  <c r="F6" i="1"/>
  <c r="H6" i="1" s="1"/>
  <c r="E6" i="1"/>
  <c r="G5" i="1"/>
  <c r="E5" i="1"/>
  <c r="F5" i="1" s="1"/>
  <c r="H5" i="1" s="1"/>
  <c r="G4" i="1"/>
  <c r="F4" i="1"/>
  <c r="H4" i="1" s="1"/>
  <c r="E4" i="1"/>
  <c r="G3" i="1"/>
  <c r="F3" i="1"/>
  <c r="H3" i="1" s="1"/>
  <c r="E3" i="1"/>
  <c r="G2" i="1"/>
  <c r="E2" i="1"/>
  <c r="F2" i="1" s="1"/>
  <c r="E17" i="1" l="1"/>
  <c r="H2" i="1"/>
  <c r="F12" i="1"/>
  <c r="H12" i="1" s="1"/>
  <c r="F13" i="1"/>
  <c r="H13" i="1" s="1"/>
</calcChain>
</file>

<file path=xl/sharedStrings.xml><?xml version="1.0" encoding="utf-8"?>
<sst xmlns="http://schemas.openxmlformats.org/spreadsheetml/2006/main" count="39" uniqueCount="36">
  <si>
    <t>Month</t>
  </si>
  <si>
    <t>Revenue</t>
  </si>
  <si>
    <t>COGS</t>
  </si>
  <si>
    <t>Operating Expenses</t>
  </si>
  <si>
    <t>Gross Profit</t>
  </si>
  <si>
    <t>Net Profit</t>
  </si>
  <si>
    <t>Gross Margin %</t>
  </si>
  <si>
    <t>Net Margin %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</si>
  <si>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</si>
  <si>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</si>
  <si>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</si>
  <si>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</si>
  <si>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</si>
  <si>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</si>
  <si>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</si>
  <si>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</si>
  <si>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</si>
  <si>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</si>
  <si>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</si>
  <si>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</si>
  <si>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 Gross Margin</t>
  </si>
  <si>
    <t>Max Net Profit</t>
  </si>
  <si>
    <t>Min Net Profit</t>
  </si>
  <si>
    <t>Item</t>
  </si>
  <si>
    <t>Budget</t>
  </si>
  <si>
    <t>Actual</t>
  </si>
  <si>
    <t>Variance</t>
  </si>
  <si>
    <t>Variance %</t>
  </si>
  <si>
    <t>OpEx</t>
  </si>
  <si>
    <t>Step</t>
  </si>
  <si>
    <t>Impact on Net Profit</t>
  </si>
  <si>
    <t>Budget Net Profit</t>
  </si>
  <si>
    <t>Revenue Variance</t>
  </si>
  <si>
    <t>COGS Variance</t>
  </si>
  <si>
    <t>OpEx Variance</t>
  </si>
  <si>
    <t>Actual 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</si>
</sst>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10" fontId="1" fillId="0" borderId="0" xfId="1" applyNumberFormat="1" applyFont="1"/>
    <xf numFmtId="10" fontId="0" fillId="0" borderId="0" xfId="1" applyNumberFormat="1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66" fontId="0" fillId="0" borderId="0" xfId="0" applyNumberFormat="1" applyAlignment="1">
      <alignment vertical="center" wrapText="1"/>
    </xf>
  </cellXfs>
  <cellStyles count="2">
    <cellStyle name="Normal" xfId="0" builtinId="0"/>
    <cellStyle name="Percent" xfId="1" builtinId="5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6" formatCode="0.0%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Finance_Model!$B$1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Finance_Model!$A$2:$A$13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Finance_Model!$B$2:$B$13</c:f>
              <c:numCache>
                <c:formatCode>General</c:formatCode>
                <c:ptCount val="12"/>
                <c:pt idx="0">
                  <c:v>500000</c:v>
                </c:pt>
                <c:pt idx="1">
                  <c:v>520000</c:v>
                </c:pt>
                <c:pt idx="2">
                  <c:v>480000</c:v>
                </c:pt>
                <c:pt idx="3">
                  <c:v>550000</c:v>
                </c:pt>
                <c:pt idx="4">
                  <c:v>600000</c:v>
                </c:pt>
                <c:pt idx="5">
                  <c:v>580000</c:v>
                </c:pt>
                <c:pt idx="6">
                  <c:v>620000</c:v>
                </c:pt>
                <c:pt idx="7">
                  <c:v>610000</c:v>
                </c:pt>
                <c:pt idx="8">
                  <c:v>590000</c:v>
                </c:pt>
                <c:pt idx="9">
                  <c:v>630000</c:v>
                </c:pt>
                <c:pt idx="10">
                  <c:v>670000</c:v>
                </c:pt>
                <c:pt idx="11">
                  <c:v>720000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AC-4D48-B791-D2E985AA7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4210880"/>
        <c:axId val="2124211840"/>
      </c:lineChart>
      <c:catAx>
        <c:axId val="212421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211840"/>
        <c:crosses val="autoZero"/>
        <c:auto val="1"/>
        <c:lblAlgn val="ctr"/>
        <c:lblOffset val="100"/>
        <c:noMultiLvlLbl val="0"/>
      </c:catAx>
      <c:valAx>
        <c:axId val="212421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210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Finance_Model!$F$1</c:f>
              <c:strCache>
                <c:ptCount val="1"/>
                <c:pt idx="0">
                  <c:v>Net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Finance_Model!$A$2:$A$13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Finance_Model!$F$2:$F$12</c:f>
              <c:numCache>
                <c:formatCode>General</c:formatCode>
                <c:ptCount val="11"/>
                <c:pt idx="0">
                  <c:v>80000</c:v>
                </c:pt>
                <c:pt idx="1">
                  <c:v>85000</c:v>
                </c:pt>
                <c:pt idx="2">
                  <c:v>67000</c:v>
                </c:pt>
                <c:pt idx="3">
                  <c:v>90000</c:v>
                </c:pt>
                <c:pt idx="4">
                  <c:v>100000</c:v>
                </c:pt>
                <c:pt idx="5">
                  <c:v>95000</c:v>
                </c:pt>
                <c:pt idx="6">
                  <c:v>100000</c:v>
                </c:pt>
                <c:pt idx="7">
                  <c:v>100000</c:v>
                </c:pt>
                <c:pt idx="8">
                  <c:v>97000</c:v>
                </c:pt>
                <c:pt idx="9">
                  <c:v>100000</c:v>
                </c:pt>
                <c:pt idx="10">
                  <c:v>110000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CD-4884-A555-A741A38A5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4218560"/>
        <c:axId val="2124215680"/>
      </c:lineChart>
      <c:catAx>
        <c:axId val="212421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215680"/>
        <c:crosses val="autoZero"/>
        <c:auto val="1"/>
        <c:lblAlgn val="ctr"/>
        <c:lblOffset val="100"/>
        <c:noMultiLvlLbl val="0"/>
      </c:catAx>
      <c:valAx>
        <c:axId val="212421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21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Finance_Model!$B$1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Finance_Model!$B$2:$B$13</c:f>
              <c:numCache>
                <c:formatCode>General</c:formatCode>
                <c:ptCount val="12"/>
                <c:pt idx="0">
                  <c:v>500000</c:v>
                </c:pt>
                <c:pt idx="1">
                  <c:v>520000</c:v>
                </c:pt>
                <c:pt idx="2">
                  <c:v>480000</c:v>
                </c:pt>
                <c:pt idx="3">
                  <c:v>550000</c:v>
                </c:pt>
                <c:pt idx="4">
                  <c:v>600000</c:v>
                </c:pt>
                <c:pt idx="5">
                  <c:v>580000</c:v>
                </c:pt>
                <c:pt idx="6">
                  <c:v>620000</c:v>
                </c:pt>
                <c:pt idx="7">
                  <c:v>610000</c:v>
                </c:pt>
                <c:pt idx="8">
                  <c:v>590000</c:v>
                </c:pt>
                <c:pt idx="9">
                  <c:v>630000</c:v>
                </c:pt>
                <c:pt idx="10">
                  <c:v>670000</c:v>
                </c:pt>
                <c:pt idx="11">
                  <c:v>720000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1E-4E51-B14B-DC4351A7A377}"/>
            </c:ext>
          </c:extLst>
        </c:ser>
        <c:ser>
          <c:idx val="1"/>
          <c:order val="1"/>
          <c:tx>
            <c:strRef>
              <c:f>Finance_Model!$F$1</c:f>
              <c:strCache>
                <c:ptCount val="1"/>
                <c:pt idx="0">
                  <c:v>Net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Finance_Model!$F$2:$F$13</c:f>
              <c:numCache>
                <c:formatCode>General</c:formatCode>
                <c:ptCount val="12"/>
                <c:pt idx="0">
                  <c:v>80000</c:v>
                </c:pt>
                <c:pt idx="1">
                  <c:v>85000</c:v>
                </c:pt>
                <c:pt idx="2">
                  <c:v>67000</c:v>
                </c:pt>
                <c:pt idx="3">
                  <c:v>90000</c:v>
                </c:pt>
                <c:pt idx="4">
                  <c:v>100000</c:v>
                </c:pt>
                <c:pt idx="5">
                  <c:v>95000</c:v>
                </c:pt>
                <c:pt idx="6">
                  <c:v>100000</c:v>
                </c:pt>
                <c:pt idx="7">
                  <c:v>100000</c:v>
                </c:pt>
                <c:pt idx="8">
                  <c:v>97000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1E-4E51-B14B-DC4351A7A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4232960"/>
        <c:axId val="2124225760"/>
      </c:lineChart>
      <c:catAx>
        <c:axId val="2124232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225760"/>
        <c:crosses val="autoZero"/>
        <c:auto val="1"/>
        <c:lblAlgn val="ctr"/>
        <c:lblOffset val="100"/>
        <c:noMultiLvlLbl val="0"/>
      </c:catAx>
      <c:valAx>
        <c:axId val="212422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23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</a:rPr>
              <a:t>Chart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</a:rPr>
              <a:t> </a:t>
            </a:r>
            <a:r>
              <a:rPr lang="en-US" b="1"/>
              <a:t>Net Profit Bridge (Budget → Actual)</a:t>
            </a:r>
            <a:br>
              <a:rPr lang="en-US"/>
            </a:b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waterfall" uniqueId="{1ED9D6D8-8D0A-40AC-A48C-9E4C3FC08F9F}">
          <cx:tx>
            <cx:txData>
              <cx:f>_xlchart.v1.1</cx:f>
              <cx:v>Impact on Net Profit</cx:v>
            </cx:txData>
          </cx:tx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4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14</xdr:row>
      <xdr:rowOff>144780</xdr:rowOff>
    </xdr:from>
    <xdr:to>
      <xdr:col>8</xdr:col>
      <xdr:colOff>53340</xdr:colOff>
      <xdr:row>29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8A821B-7F52-F1B3-0593-DED3B4F1D9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190500</xdr:colOff>
      <xdr:row>17</xdr:row>
      <xdr:rowOff>137160</xdr:rowOff>
    </xdr:from>
    <xdr:to>
      <xdr:col>17</xdr:col>
      <xdr:colOff>495300</xdr:colOff>
      <xdr:row>32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A587F2-33AA-9639-1EDB-12903BD12B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304800</xdr:colOff>
      <xdr:row>0</xdr:row>
      <xdr:rowOff>121920</xdr:rowOff>
    </xdr:from>
    <xdr:to>
      <xdr:col>16</xdr:col>
      <xdr:colOff>0</xdr:colOff>
      <xdr:row>15</xdr:row>
      <xdr:rowOff>121920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537C55-4013-7FC8-B90E-36454EFEDE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173182</xdr:rowOff>
    </xdr:from>
    <xdr:to>
      <xdr:col>5</xdr:col>
      <xdr:colOff>6926</xdr:colOff>
      <xdr:row>8</xdr:row>
      <xdr:rowOff>55418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B19E622-0EFE-E39D-B41D-77432C2F9A19}"/>
            </a:ext>
          </a:extLst>
        </xdr:cNvPr>
        <xdr:cNvSpPr txBox="1"/>
      </xdr:nvSpPr>
      <xdr:spPr>
        <a:xfrm>
          <a:off x="0" y="1080655"/>
          <a:ext cx="5514108" cy="6026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Net profit came in 45K below budget due to lower revenue (-30K) and higher costs, reducing profit by 15K (COGS +10K, OpEx +5K).</a:t>
          </a:r>
        </a:p>
      </xdr:txBody>
    </xdr:sp>
    <xdr:clientData/>
  </xdr:twoCellAnchor>
  <xdr:twoCellAnchor>
    <xdr:from>
      <xdr:col>2</xdr:col>
      <xdr:colOff>10392</xdr:colOff>
      <xdr:row>10</xdr:row>
      <xdr:rowOff>0</xdr:rowOff>
    </xdr:from>
    <xdr:to>
      <xdr:col>6</xdr:col>
      <xdr:colOff>232064</xdr:colOff>
      <xdr:row>25</xdr:row>
      <xdr:rowOff>96981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26550D6C-3B92-6DB5-0459-3F8BD8C1D0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31919" y="1988127"/>
              <a:ext cx="4572000" cy="29856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716C7E-6726-4F16-B60A-2042E8FDA683}" name="Table1" displayName="Table1" ref="A1:E5" totalsRowShown="0" headerRowDxfId="5" dataDxfId="6">
  <autoFilter ref="A1:E5" xr:uid="{61716C7E-6726-4F16-B60A-2042E8FDA683}"/>
  <tableColumns count="5">
    <tableColumn id="1" xr3:uid="{1F93B704-7DCD-4258-80D0-4B1A6E777CEF}" name="Item" dataDxfId="9"/>
    <tableColumn id="2" xr3:uid="{EA051F85-344B-411A-AA88-036581F122DD}" name="Budget" dataDxfId="8"/>
    <tableColumn id="3" xr3:uid="{7D7085D4-9A31-4840-9D6E-36B899D66BC6}" name="Actual" dataDxfId="7"/>
    <tableColumn id="4" xr3:uid="{15454DA1-7117-4188-A0A5-1230F9D150B1}" name="Variance" dataDxfId="4">
      <calculatedColumnFormula>Table1[[#This Row],[Actual]]-Table1[[#This Row],[Budget]]</calculatedColumnFormula>
    </tableColumn>
    <tableColumn id="5" xr3:uid="{BA7211C1-498B-4700-BB18-AAD91727940B}" name="Variance %" dataDxfId="3">
      <calculatedColumnFormula>Table1[[#This Row],[Variance]]/Table1[[#This Row],[Budget]]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6D797B-651C-4E2C-A10B-00296A840585}" name="Table2" displayName="Table2" ref="A11:B16" totalsRowShown="0" headerRowDxfId="0">
  <autoFilter ref="A11:B16" xr:uid="{FA6D797B-651C-4E2C-A10B-00296A840585}"/>
  <tableColumns count="2">
    <tableColumn id="1" xr3:uid="{6EB3C08F-3DA4-49E1-90D8-B62CC0AE1DA3}" name="Step" dataDxfId="2"/>
    <tableColumn id="2" xr3:uid="{A5B47A60-A0E1-4BFC-9519-E211D7FBD1BC}" name="Impact on Net Profit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activeCell="S10" sqref="S10"/>
    </sheetView>
  </sheetViews>
  <sheetFormatPr defaultRowHeight="14.4" x14ac:dyDescent="0.3"/>
  <cols>
    <col min="1" max="1" width="9.5546875" customWidth="1"/>
    <col min="2" max="2" width="8.33203125" bestFit="1" customWidth="1"/>
    <col min="3" max="3" width="7" bestFit="1" customWidth="1"/>
    <col min="4" max="4" width="19.5546875" bestFit="1" customWidth="1"/>
    <col min="5" max="5" width="12" bestFit="1" customWidth="1"/>
    <col min="6" max="6" width="9.109375" bestFit="1" customWidth="1"/>
    <col min="7" max="7" width="14" style="3" bestFit="1" customWidth="1"/>
    <col min="8" max="8" width="12.33203125" style="3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 x14ac:dyDescent="0.3">
      <c r="A2" t="s">
        <v>8</v>
      </c>
      <c r="B2">
        <v>500000</v>
      </c>
      <c r="C2">
        <v>300000</v>
      </c>
      <c r="D2">
        <v>120000</v>
      </c>
      <c r="E2">
        <f t="shared" ref="E2:E13" si="0">B2-C2</f>
        <v>200000</v>
      </c>
      <c r="F2">
        <f t="shared" ref="F2:F13" si="1">E2-D2</f>
        <v>80000</v>
      </c>
      <c r="G2" s="3">
        <f t="shared" ref="G2:G13" si="2">E2/B2</f>
        <v>0.4</v>
      </c>
      <c r="H2" s="3">
        <f t="shared" ref="H2:H13" si="3">F2/B2</f>
        <v>0.16</v>
      </c>
    </row>
    <row r="3" spans="1:8" x14ac:dyDescent="0.3">
      <c r="A3" t="s">
        <v>9</v>
      </c>
      <c r="B3">
        <v>520000</v>
      </c>
      <c r="C3">
        <v>310000</v>
      </c>
      <c r="D3">
        <v>125000</v>
      </c>
      <c r="E3">
        <f t="shared" si="0"/>
        <v>210000</v>
      </c>
      <c r="F3">
        <f t="shared" si="1"/>
        <v>85000</v>
      </c>
      <c r="G3" s="3">
        <f t="shared" si="2"/>
        <v>0.40384615384615385</v>
      </c>
      <c r="H3" s="3">
        <f t="shared" si="3"/>
        <v>0.16346153846153846</v>
      </c>
    </row>
    <row r="4" spans="1:8" x14ac:dyDescent="0.3">
      <c r="A4" t="s">
        <v>10</v>
      </c>
      <c r="B4">
        <v>480000</v>
      </c>
      <c r="C4">
        <v>295000</v>
      </c>
      <c r="D4">
        <v>118000</v>
      </c>
      <c r="E4">
        <f t="shared" si="0"/>
        <v>185000</v>
      </c>
      <c r="F4">
        <f t="shared" si="1"/>
        <v>67000</v>
      </c>
      <c r="G4" s="3">
        <f t="shared" si="2"/>
        <v>0.38541666666666669</v>
      </c>
      <c r="H4" s="3">
        <f t="shared" si="3"/>
        <v>0.13958333333333334</v>
      </c>
    </row>
    <row r="5" spans="1:8" x14ac:dyDescent="0.3">
      <c r="A5" t="s">
        <v>11</v>
      </c>
      <c r="B5">
        <v>550000</v>
      </c>
      <c r="C5">
        <v>330000</v>
      </c>
      <c r="D5">
        <v>130000</v>
      </c>
      <c r="E5">
        <f t="shared" si="0"/>
        <v>220000</v>
      </c>
      <c r="F5">
        <f t="shared" si="1"/>
        <v>90000</v>
      </c>
      <c r="G5" s="3">
        <f t="shared" si="2"/>
        <v>0.4</v>
      </c>
      <c r="H5" s="3">
        <f t="shared" si="3"/>
        <v>0.16363636363636364</v>
      </c>
    </row>
    <row r="6" spans="1:8" x14ac:dyDescent="0.3">
      <c r="A6" t="s">
        <v>12</v>
      </c>
      <c r="B6">
        <v>600000</v>
      </c>
      <c r="C6">
        <v>360000</v>
      </c>
      <c r="D6">
        <v>140000</v>
      </c>
      <c r="E6">
        <f t="shared" si="0"/>
        <v>240000</v>
      </c>
      <c r="F6">
        <f t="shared" si="1"/>
        <v>100000</v>
      </c>
      <c r="G6" s="3">
        <f t="shared" si="2"/>
        <v>0.4</v>
      </c>
      <c r="H6" s="3">
        <f t="shared" si="3"/>
        <v>0.16666666666666666</v>
      </c>
    </row>
    <row r="7" spans="1:8" x14ac:dyDescent="0.3">
      <c r="A7" t="s">
        <v>13</v>
      </c>
      <c r="B7">
        <v>580000</v>
      </c>
      <c r="C7">
        <v>350000</v>
      </c>
      <c r="D7">
        <v>135000</v>
      </c>
      <c r="E7">
        <f t="shared" si="0"/>
        <v>230000</v>
      </c>
      <c r="F7">
        <f t="shared" si="1"/>
        <v>95000</v>
      </c>
      <c r="G7" s="3">
        <f t="shared" si="2"/>
        <v>0.39655172413793105</v>
      </c>
      <c r="H7" s="3">
        <f t="shared" si="3"/>
        <v>0.16379310344827586</v>
      </c>
    </row>
    <row r="8" spans="1:8" x14ac:dyDescent="0.3">
      <c r="A8" t="s">
        <v>14</v>
      </c>
      <c r="B8">
        <v>620000</v>
      </c>
      <c r="C8">
        <v>370000</v>
      </c>
      <c r="D8">
        <v>150000</v>
      </c>
      <c r="E8">
        <f t="shared" si="0"/>
        <v>250000</v>
      </c>
      <c r="F8">
        <f t="shared" si="1"/>
        <v>100000</v>
      </c>
      <c r="G8" s="3">
        <f t="shared" si="2"/>
        <v>0.40322580645161288</v>
      </c>
      <c r="H8" s="3">
        <f t="shared" si="3"/>
        <v>0.16129032258064516</v>
      </c>
    </row>
    <row r="9" spans="1:8" x14ac:dyDescent="0.3">
      <c r="A9" t="s">
        <v>15</v>
      </c>
      <c r="B9">
        <v>610000</v>
      </c>
      <c r="C9">
        <v>365000</v>
      </c>
      <c r="D9">
        <v>145000</v>
      </c>
      <c r="E9">
        <f t="shared" si="0"/>
        <v>245000</v>
      </c>
      <c r="F9">
        <f t="shared" si="1"/>
        <v>100000</v>
      </c>
      <c r="G9" s="3">
        <f t="shared" si="2"/>
        <v>0.40163934426229508</v>
      </c>
      <c r="H9" s="3">
        <f t="shared" si="3"/>
        <v>0.16393442622950818</v>
      </c>
    </row>
    <row r="10" spans="1:8" x14ac:dyDescent="0.3">
      <c r="A10" t="s">
        <v>16</v>
      </c>
      <c r="B10">
        <v>590000</v>
      </c>
      <c r="C10">
        <v>355000</v>
      </c>
      <c r="D10">
        <v>138000</v>
      </c>
      <c r="E10">
        <f t="shared" si="0"/>
        <v>235000</v>
      </c>
      <c r="F10">
        <f t="shared" si="1"/>
        <v>97000</v>
      </c>
      <c r="G10" s="3">
        <f t="shared" si="2"/>
        <v>0.39830508474576271</v>
      </c>
      <c r="H10" s="3">
        <f t="shared" si="3"/>
        <v>0.16440677966101694</v>
      </c>
    </row>
    <row r="11" spans="1:8" x14ac:dyDescent="0.3">
      <c r="A11" t="s">
        <v>17</v>
      </c>
      <c r="B11">
        <v>630000</v>
      </c>
      <c r="C11">
        <v>375000</v>
      </c>
      <c r="D11">
        <v>155000</v>
      </c>
      <c r="E11">
        <f t="shared" si="0"/>
        <v>255000</v>
      </c>
      <c r="F11">
        <f t="shared" si="1"/>
        <v>100000</v>
      </c>
      <c r="G11" s="3">
        <f t="shared" si="2"/>
        <v>0.40476190476190477</v>
      </c>
      <c r="H11" s="3">
        <f t="shared" si="3"/>
        <v>0.15873015873015872</v>
      </c>
    </row>
    <row r="12" spans="1:8" x14ac:dyDescent="0.3">
      <c r="A12" t="s">
        <v>18</v>
      </c>
      <c r="B12">
        <v>670000</v>
      </c>
      <c r="C12">
        <v>400000</v>
      </c>
      <c r="D12">
        <v>160000</v>
      </c>
      <c r="E12">
        <f t="shared" si="0"/>
        <v>270000</v>
      </c>
      <c r="F12">
        <f t="shared" si="1"/>
        <v>110000</v>
      </c>
      <c r="G12" s="3">
        <f t="shared" si="2"/>
        <v>0.40298507462686567</v>
      </c>
      <c r="H12" s="3">
        <f t="shared" si="3"/>
        <v>0.16417910447761194</v>
      </c>
    </row>
    <row r="13" spans="1:8" x14ac:dyDescent="0.3">
      <c r="A13" t="s">
        <v>19</v>
      </c>
      <c r="B13">
        <v>720000</v>
      </c>
      <c r="C13">
        <v>430000</v>
      </c>
      <c r="D13">
        <v>170000</v>
      </c>
      <c r="E13">
        <f t="shared" si="0"/>
        <v>290000</v>
      </c>
      <c r="F13">
        <f t="shared" si="1"/>
        <v>120000</v>
      </c>
      <c r="G13" s="3">
        <f t="shared" si="2"/>
        <v>0.40277777777777779</v>
      </c>
      <c r="H13" s="3">
        <f t="shared" si="3"/>
        <v>0.16666666666666666</v>
      </c>
    </row>
    <row r="15" spans="1:8" x14ac:dyDescent="0.3">
      <c r="D15" s="1" t="s">
        <v>20</v>
      </c>
      <c r="E15">
        <f>AVERAGE(G2:G13)</f>
        <v>0.39995912810641415</v>
      </c>
    </row>
    <row r="16" spans="1:8" x14ac:dyDescent="0.3">
      <c r="D16" s="1" t="s">
        <v>21</v>
      </c>
      <c r="E16">
        <f>MAX(F2:F13)</f>
        <v>120000</v>
      </c>
    </row>
    <row r="17" spans="4:5" x14ac:dyDescent="0.3">
      <c r="D17" s="1" t="s">
        <v>22</v>
      </c>
      <c r="E17">
        <f>MIN(F2:F13)</f>
        <v>67000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A2DED-5B7D-43ED-98C8-D23483A84D5D}">
  <dimension ref="A1:E16"/>
  <sheetViews>
    <sheetView tabSelected="1" zoomScale="110" zoomScaleNormal="110" workbookViewId="0">
      <selection activeCell="I6" sqref="I6"/>
    </sheetView>
  </sheetViews>
  <sheetFormatPr defaultColWidth="16.88671875" defaultRowHeight="14.4" x14ac:dyDescent="0.3"/>
  <cols>
    <col min="2" max="2" width="19.88671875" customWidth="1"/>
    <col min="4" max="4" width="12.77734375" bestFit="1" customWidth="1"/>
  </cols>
  <sheetData>
    <row r="1" spans="1:5" ht="28.8" x14ac:dyDescent="0.3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</row>
    <row r="2" spans="1:5" x14ac:dyDescent="0.3">
      <c r="A2" s="5" t="s">
        <v>1</v>
      </c>
      <c r="B2" s="6">
        <v>750000</v>
      </c>
      <c r="C2" s="6">
        <v>720000</v>
      </c>
      <c r="D2" s="6">
        <f>Table1[[#This Row],[Actual]]-Table1[[#This Row],[Budget]]</f>
        <v>-30000</v>
      </c>
      <c r="E2" s="7">
        <f>Table1[[#This Row],[Variance]]/Table1[[#This Row],[Budget]]</f>
        <v>-0.04</v>
      </c>
    </row>
    <row r="3" spans="1:5" x14ac:dyDescent="0.3">
      <c r="A3" s="5" t="s">
        <v>2</v>
      </c>
      <c r="B3" s="6">
        <v>420000</v>
      </c>
      <c r="C3" s="6">
        <v>430000</v>
      </c>
      <c r="D3" s="6">
        <f>Table1[[#This Row],[Actual]]-Table1[[#This Row],[Budget]]</f>
        <v>10000</v>
      </c>
      <c r="E3" s="7">
        <f>Table1[[#This Row],[Variance]]/Table1[[#This Row],[Budget]]</f>
        <v>2.3809523809523808E-2</v>
      </c>
    </row>
    <row r="4" spans="1:5" x14ac:dyDescent="0.3">
      <c r="A4" s="5" t="s">
        <v>28</v>
      </c>
      <c r="B4" s="6">
        <v>165000</v>
      </c>
      <c r="C4" s="6">
        <v>170000</v>
      </c>
      <c r="D4" s="6">
        <f>Table1[[#This Row],[Actual]]-Table1[[#This Row],[Budget]]</f>
        <v>5000</v>
      </c>
      <c r="E4" s="7">
        <f>Table1[[#This Row],[Variance]]/Table1[[#This Row],[Budget]]</f>
        <v>3.0303030303030304E-2</v>
      </c>
    </row>
    <row r="5" spans="1:5" x14ac:dyDescent="0.3">
      <c r="A5" s="5" t="s">
        <v>5</v>
      </c>
      <c r="B5" s="6">
        <f>(B2-B3)-B4</f>
        <v>165000</v>
      </c>
      <c r="C5" s="6">
        <f>(C2-C3)-C4</f>
        <v>120000</v>
      </c>
      <c r="D5" s="6">
        <f>Table1[[#This Row],[Actual]]-Table1[[#This Row],[Budget]]</f>
        <v>-45000</v>
      </c>
      <c r="E5" s="7">
        <f>Table1[[#This Row],[Variance]]/Table1[[#This Row],[Budget]]</f>
        <v>-0.27272727272727271</v>
      </c>
    </row>
    <row r="11" spans="1:5" ht="28.8" x14ac:dyDescent="0.3">
      <c r="A11" s="4" t="s">
        <v>29</v>
      </c>
      <c r="B11" s="4" t="s">
        <v>30</v>
      </c>
    </row>
    <row r="12" spans="1:5" x14ac:dyDescent="0.3">
      <c r="A12" s="5" t="s">
        <v>31</v>
      </c>
      <c r="B12" s="6">
        <v>165000</v>
      </c>
    </row>
    <row r="13" spans="1:5" x14ac:dyDescent="0.3">
      <c r="A13" s="5" t="s">
        <v>32</v>
      </c>
      <c r="B13" s="6">
        <v>-30000</v>
      </c>
    </row>
    <row r="14" spans="1:5" x14ac:dyDescent="0.3">
      <c r="A14" s="5" t="s">
        <v>33</v>
      </c>
      <c r="B14" s="6">
        <v>-10000</v>
      </c>
    </row>
    <row r="15" spans="1:5" x14ac:dyDescent="0.3">
      <c r="A15" s="5" t="s">
        <v>34</v>
      </c>
      <c r="B15" s="6">
        <v>-5000</v>
      </c>
    </row>
    <row r="16" spans="1:5" x14ac:dyDescent="0.3">
      <c r="A16" s="5" t="s">
        <v>35</v>
      </c>
      <c r="B16" s="6">
        <v>120000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Finance_Model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toukhy</cp:lastModifiedBy>
  <dcterms:created xsi:type="dcterms:W3CDTF">2026-02-17T05:59:55Z</dcterms:created>
  <dcterms:modified xsi:type="dcterms:W3CDTF">2026-02-24T00:17:22Z</dcterms:modified>
</cp:coreProperties>
</file>